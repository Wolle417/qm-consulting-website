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QCore\40_Entwicklung\Website\public\docs\capa\"/>
    </mc:Choice>
  </mc:AlternateContent>
  <xr:revisionPtr revIDLastSave="0" documentId="13_ncr:1_{33980553-5058-4CFA-A991-59B59108B6B8}" xr6:coauthVersionLast="47" xr6:coauthVersionMax="47" xr10:uidLastSave="{00000000-0000-0000-0000-000000000000}"/>
  <bookViews>
    <workbookView xWindow="-98" yWindow="-98" windowWidth="28996" windowHeight="15675" tabRatio="500" activeTab="2" xr2:uid="{00000000-000D-0000-FFFF-FFFF00000000}"/>
  </bookViews>
  <sheets>
    <sheet name="Dashboard" sheetId="1" r:id="rId1"/>
    <sheet name="Log" sheetId="2" r:id="rId2"/>
    <sheet name="Instructions" sheetId="3" r:id="rId3"/>
    <sheet name="Dropdowns" sheetId="4" state="hidden" r:id="rId4"/>
  </sheets>
  <definedNames>
    <definedName name="_xlnm._FilterDatabase" localSheetId="1" hidden="1">Log!$A$1:$L$1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2" l="1"/>
  <c r="J5" i="2"/>
  <c r="J4" i="2"/>
  <c r="J3" i="2"/>
  <c r="J2" i="2"/>
  <c r="B26" i="1"/>
  <c r="B25" i="1"/>
  <c r="B24" i="1"/>
  <c r="B23" i="1"/>
  <c r="B20" i="1"/>
  <c r="B19" i="1"/>
  <c r="G18" i="1"/>
  <c r="B18" i="1"/>
  <c r="G17" i="1"/>
  <c r="B17" i="1"/>
  <c r="G16" i="1"/>
  <c r="G15" i="1"/>
  <c r="G14" i="1"/>
  <c r="B14" i="1"/>
  <c r="G13" i="1"/>
  <c r="B13" i="1"/>
  <c r="G12" i="1"/>
  <c r="B12" i="1"/>
  <c r="G11" i="1"/>
  <c r="B11" i="1"/>
  <c r="F7" i="1"/>
  <c r="D7" i="1"/>
  <c r="B7" i="1"/>
  <c r="H7" i="1" l="1"/>
</calcChain>
</file>

<file path=xl/sharedStrings.xml><?xml version="1.0" encoding="utf-8"?>
<sst xmlns="http://schemas.openxmlformats.org/spreadsheetml/2006/main" count="145" uniqueCount="100">
  <si>
    <t>CAPA MANAGEMENT DASHBOARD</t>
  </si>
  <si>
    <t>Real-time overview of Corrective and Preventive Actions</t>
  </si>
  <si>
    <t>KEY PERFORMANCE INDICATORS</t>
  </si>
  <si>
    <t>Total Open</t>
  </si>
  <si>
    <t>Overdue</t>
  </si>
  <si>
    <t>Closed (Total)</t>
  </si>
  <si>
    <t>Avg Days to Close</t>
  </si>
  <si>
    <t>STATUS BREAKDOWN</t>
  </si>
  <si>
    <t>SOURCE ANALYSIS</t>
  </si>
  <si>
    <t>Open</t>
  </si>
  <si>
    <t>Customer Complaint</t>
  </si>
  <si>
    <t>In Progress</t>
  </si>
  <si>
    <t>Internal Audit</t>
  </si>
  <si>
    <t>Pending Verification</t>
  </si>
  <si>
    <t>External Audit</t>
  </si>
  <si>
    <t>Closed</t>
  </si>
  <si>
    <t>Nonconformance</t>
  </si>
  <si>
    <t>PMS/Vigilance</t>
  </si>
  <si>
    <t>PRIORITY BREAKDOWN</t>
  </si>
  <si>
    <t>Supplier Issue</t>
  </si>
  <si>
    <t>Critical</t>
  </si>
  <si>
    <t>Process Deviation</t>
  </si>
  <si>
    <t>High</t>
  </si>
  <si>
    <t>Management Review</t>
  </si>
  <si>
    <t>Medium</t>
  </si>
  <si>
    <t>Low</t>
  </si>
  <si>
    <t>EFFECTIVENESS RATE</t>
  </si>
  <si>
    <t>Effective</t>
  </si>
  <si>
    <t>Partially Effective</t>
  </si>
  <si>
    <t>Not Effective</t>
  </si>
  <si>
    <t>Pending</t>
  </si>
  <si>
    <t>📋 Enter CAPA data in the 'Log' sheet. Dashboard updates automatically.</t>
  </si>
  <si>
    <t>CAPA #</t>
  </si>
  <si>
    <t>Date Opened</t>
  </si>
  <si>
    <t>Description</t>
  </si>
  <si>
    <t>Source</t>
  </si>
  <si>
    <t>Priority</t>
  </si>
  <si>
    <t>Target Date</t>
  </si>
  <si>
    <t>Status</t>
  </si>
  <si>
    <t>Owner</t>
  </si>
  <si>
    <t>Date Closed</t>
  </si>
  <si>
    <t>Days Open</t>
  </si>
  <si>
    <t>Effectiveness</t>
  </si>
  <si>
    <t>Notes</t>
  </si>
  <si>
    <t>CAPA-2025-001</t>
  </si>
  <si>
    <t>Incorrect labeling on product UC-200</t>
  </si>
  <si>
    <t>M. Schmidt</t>
  </si>
  <si>
    <t>Root cause: SOP gap. Corrected.</t>
  </si>
  <si>
    <t>CAPA-2025-002</t>
  </si>
  <si>
    <t>Supplier material OOS</t>
  </si>
  <si>
    <t>T. Weber</t>
  </si>
  <si>
    <t>Awaiting supplier response</t>
  </si>
  <si>
    <t>CAPA-2025-003</t>
  </si>
  <si>
    <t>Calibration deviation on Test Equipment TE-045</t>
  </si>
  <si>
    <t>S. Braun</t>
  </si>
  <si>
    <t>Actions complete, verifying effectiveness</t>
  </si>
  <si>
    <t>CAPA-2025-004</t>
  </si>
  <si>
    <t>Documentation error in DHF</t>
  </si>
  <si>
    <t>K. Hoffmann</t>
  </si>
  <si>
    <t>Investigation ongoing</t>
  </si>
  <si>
    <t>CAPA-2025-005</t>
  </si>
  <si>
    <t>Critical process parameter drift</t>
  </si>
  <si>
    <t>Process revalidated</t>
  </si>
  <si>
    <t>CAPA LOG - USER INSTRUCTIONS</t>
  </si>
  <si>
    <t>HOW TO USE THIS WORKBOOK</t>
  </si>
  <si>
    <t>1. LOG SHEET</t>
  </si>
  <si>
    <t xml:space="preserve">   • Enter all CAPAs in the Log sheet</t>
  </si>
  <si>
    <t xml:space="preserve">   • CAPA # format: CAPA-YYYY-XXX (e.g., CAPA-2025-017)</t>
  </si>
  <si>
    <t xml:space="preserve">   • IMPORTANT: Enter dates by selecting the cell and using date picker</t>
  </si>
  <si>
    <t xml:space="preserve">   • Or type dates as: 2025-01-15 (Excel will convert to date)</t>
  </si>
  <si>
    <t xml:space="preserve">   • Select Status from: Open, In Progress, Pending Verification, Closed</t>
  </si>
  <si>
    <t xml:space="preserve">   • Select Priority from: Critical, High, Medium, Low</t>
  </si>
  <si>
    <t xml:space="preserve">   • Days Open calculates automatically</t>
  </si>
  <si>
    <t>2. DASHBOARD</t>
  </si>
  <si>
    <t xml:space="preserve">   • All KPIs update automatically based on Log data</t>
  </si>
  <si>
    <t xml:space="preserve">   • Overdue = Target Date passed AND Status ≠ Closed</t>
  </si>
  <si>
    <t>3. STATUS DEFINITIONS</t>
  </si>
  <si>
    <t xml:space="preserve">   • Open: CAPA initiated, investigation not started</t>
  </si>
  <si>
    <t xml:space="preserve">   • In Progress: Investigation/actions underway</t>
  </si>
  <si>
    <t xml:space="preserve">   • Pending Verification: Actions complete, awaiting effectiveness check</t>
  </si>
  <si>
    <t xml:space="preserve">   • Closed: Effectiveness verified, CAPA complete</t>
  </si>
  <si>
    <t>4. PRIORITY DEFINITIONS</t>
  </si>
  <si>
    <t xml:space="preserve">   • Critical: Patient safety impact, immediate action required</t>
  </si>
  <si>
    <t xml:space="preserve">   • High: Regulatory impact, major quality issue</t>
  </si>
  <si>
    <t xml:space="preserve">   • Medium: Moderate impact, standard timeline</t>
  </si>
  <si>
    <t xml:space="preserve">   • Low: Minor issue, improvement opportunity</t>
  </si>
  <si>
    <t>5. EFFECTIVENESS OPTIONS</t>
  </si>
  <si>
    <t xml:space="preserve">   • Effective: Root cause eliminated, no recurrence</t>
  </si>
  <si>
    <t xml:space="preserve">   • Partially Effective: Improvement observed, monitoring continues</t>
  </si>
  <si>
    <t xml:space="preserve">   • Not Effective: Issue recurred, new CAPA required</t>
  </si>
  <si>
    <t xml:space="preserve">   • Pending: Not yet evaluated</t>
  </si>
  <si>
    <t>6. TIPS</t>
  </si>
  <si>
    <t xml:space="preserve">   • Use filters in Log sheet to find specific CAPAs</t>
  </si>
  <si>
    <t xml:space="preserve">   • Red highlight on Target Date = OVERDUE</t>
  </si>
  <si>
    <t xml:space="preserve">   • Review Dashboard weekly in team meetings</t>
  </si>
  <si>
    <t xml:space="preserve">   • Use dropdown menus for consistent data entry</t>
  </si>
  <si>
    <t>─────────────────────────────────────────────────────</t>
  </si>
  <si>
    <t>Template provided by QCore Consulting | qcore-consulting.de</t>
  </si>
  <si>
    <t>Compliant with ISO 13485:2016 and FDA 21 CFR 820.100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</si>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</sst>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Calibri"/>
      <family val="2"/>
      <charset val="1"/>
    </font>
    <font>
      <b/>
      <sz val="24"/>
      <color rgb="FFFFFFFF"/>
      <name val="Cambria"/>
      <charset val="1"/>
    </font>
    <font>
      <sz val="12"/>
      <color rgb="FF2E75B6"/>
      <name val="Cambria"/>
      <charset val="1"/>
    </font>
    <font>
      <b/>
      <sz val="14"/>
      <color rgb="FFFFFFFF"/>
      <name val="Cambria"/>
      <charset val="1"/>
    </font>
    <font>
      <b/>
      <sz val="11"/>
      <color rgb="FF1F4E79"/>
      <name val="Cambria"/>
      <charset val="1"/>
    </font>
    <font>
      <b/>
      <sz val="28"/>
      <color rgb="FF1F4E79"/>
      <name val="Cambria"/>
      <charset val="1"/>
    </font>
    <font>
      <b/>
      <sz val="12"/>
      <color rgb="FFFFFFFF"/>
      <name val="Cambria"/>
      <charset val="1"/>
    </font>
    <font>
      <sz val="11"/>
      <name val="Cambria"/>
      <charset val="1"/>
    </font>
    <font>
      <b/>
      <sz val="11"/>
      <color rgb="FF006100"/>
      <name val="Cambria"/>
      <charset val="1"/>
    </font>
    <font>
      <sz val="10"/>
      <name val="Cambria"/>
      <charset val="1"/>
    </font>
    <font>
      <b/>
      <sz val="10"/>
      <name val="Cambria"/>
      <charset val="1"/>
    </font>
    <font>
      <b/>
      <sz val="11"/>
      <color rgb="FF9C5700"/>
      <name val="Cambria"/>
      <charset val="1"/>
    </font>
    <font>
      <b/>
      <sz val="11"/>
      <color rgb="FF000000"/>
      <name val="Cambria"/>
      <charset val="1"/>
    </font>
    <font>
      <b/>
      <sz val="11"/>
      <color rgb="FF9C0006"/>
      <name val="Cambria"/>
      <charset val="1"/>
    </font>
    <font>
      <i/>
      <sz val="11"/>
      <color rgb="FF2E75B6"/>
      <name val="Cambria"/>
      <charset val="1"/>
    </font>
    <font>
      <b/>
      <sz val="11"/>
      <color rgb="FFFFFFFF"/>
      <name val="Cambria"/>
      <charset val="1"/>
    </font>
    <font>
      <b/>
      <sz val="18"/>
      <color rgb="FFFFFFFF"/>
      <name val="Cambria"/>
      <charset val="1"/>
    </font>
    <font>
      <b/>
      <sz val="12"/>
      <color rgb="FF1F4E79"/>
      <name val="Cambria"/>
      <charset val="1"/>
    </font>
    <font>
      <b/>
      <sz val="11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4" fillId="0" borderId="0" xfId="0" applyFont="1"/>
    <xf numFmtId="0" fontId="6" fillId="3" borderId="0" xfId="0" applyFont="1" applyFill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1" xfId="0" applyFont="1" applyBorder="1"/>
    <xf numFmtId="0" fontId="8" fillId="4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16" fillId="2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9" fillId="0" borderId="0" xfId="0" applyFont="1"/>
  </cellXfs>
  <cellStyles count="1">
    <cellStyle name="Standard" xfId="0" builtinId="0"/>
  </cellStyles>
  <dxfs count="9">
    <dxf>
      <fill>
        <patternFill>
          <bgColor rgb="FFF2F2F2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view="pageLayout" zoomScaleNormal="100" workbookViewId="0">
      <selection activeCell="M22" sqref="M22"/>
    </sheetView>
  </sheetViews>
  <sheetFormatPr baseColWidth="10" defaultColWidth="8.6640625" defaultRowHeight="14.25" x14ac:dyDescent="0.45"/>
  <cols>
    <col min="1" max="1" width="20" customWidth="1"/>
    <col min="2" max="2" width="12" customWidth="1"/>
    <col min="3" max="3" width="3" customWidth="1"/>
    <col min="4" max="4" width="20" customWidth="1"/>
    <col min="5" max="5" width="3" customWidth="1"/>
    <col min="6" max="6" width="20" customWidth="1"/>
    <col min="7" max="7" width="12" customWidth="1"/>
    <col min="8" max="8" width="20" customWidth="1"/>
  </cols>
  <sheetData>
    <row r="1" spans="1:8" ht="39.75" customHeight="1" x14ac:dyDescent="0.45">
      <c r="A1" s="5" t="s">
        <v>0</v>
      </c>
      <c r="B1" s="5"/>
      <c r="C1" s="5"/>
      <c r="D1" s="5"/>
      <c r="E1" s="5"/>
      <c r="F1" s="5"/>
      <c r="G1" s="5"/>
      <c r="H1" s="5"/>
    </row>
    <row r="2" spans="1:8" ht="15.4" x14ac:dyDescent="0.45">
      <c r="A2" s="4" t="s">
        <v>1</v>
      </c>
      <c r="B2" s="4"/>
      <c r="C2" s="4"/>
      <c r="D2" s="4"/>
      <c r="E2" s="4"/>
      <c r="F2" s="4"/>
      <c r="G2" s="4"/>
      <c r="H2" s="4"/>
    </row>
    <row r="4" spans="1:8" ht="17.25" x14ac:dyDescent="0.45">
      <c r="A4" s="3" t="s">
        <v>2</v>
      </c>
      <c r="B4" s="3"/>
      <c r="C4" s="3"/>
      <c r="D4" s="3"/>
      <c r="E4" s="3"/>
      <c r="F4" s="3"/>
      <c r="G4" s="3"/>
      <c r="H4" s="3"/>
    </row>
    <row r="6" spans="1:8" x14ac:dyDescent="0.45">
      <c r="B6" s="6" t="s">
        <v>3</v>
      </c>
      <c r="D6" s="6" t="s">
        <v>4</v>
      </c>
      <c r="F6" s="6" t="s">
        <v>5</v>
      </c>
      <c r="H6" s="6" t="s">
        <v>6</v>
      </c>
    </row>
    <row r="7" spans="1:8" ht="34.9" x14ac:dyDescent="0.9">
      <c r="B7" s="7">
        <f>COUNTIF(Log!G:G,"Open")+COUNTIF(Log!G:G,"In Progress")</f>
        <v>2</v>
      </c>
      <c r="D7" s="7">
        <f ca="1">COUNTIFS(Log!G:G,"&lt;&gt;Closed",Log!F:F,"&lt;"&amp;TODAY(),Log!F:F,"&lt;&gt;")</f>
        <v>3</v>
      </c>
      <c r="F7" s="7">
        <f>COUNTIF(Log!G:G,"Closed")</f>
        <v>2</v>
      </c>
      <c r="H7" s="7">
        <f ca="1">IFERROR(ROUND(AVERAGEIF(Log!G:G,"Closed",Log!J:J),1),0)</f>
        <v>41.5</v>
      </c>
    </row>
    <row r="10" spans="1:8" ht="15.4" x14ac:dyDescent="0.45">
      <c r="A10" s="2" t="s">
        <v>7</v>
      </c>
      <c r="B10" s="2"/>
      <c r="C10" s="2"/>
      <c r="D10" s="2"/>
      <c r="F10" s="2" t="s">
        <v>8</v>
      </c>
      <c r="G10" s="2"/>
      <c r="H10" s="2"/>
    </row>
    <row r="11" spans="1:8" x14ac:dyDescent="0.45">
      <c r="A11" s="8" t="s">
        <v>9</v>
      </c>
      <c r="B11" s="9">
        <f>COUNTIF(Log!G:G,"Open")</f>
        <v>1</v>
      </c>
      <c r="F11" s="10" t="s">
        <v>10</v>
      </c>
      <c r="G11" s="11">
        <f>COUNTIF(Log!D:D,"Customer Complaint")</f>
        <v>1</v>
      </c>
    </row>
    <row r="12" spans="1:8" x14ac:dyDescent="0.45">
      <c r="A12" s="8" t="s">
        <v>11</v>
      </c>
      <c r="B12" s="12">
        <f>COUNTIF(Log!G:G,"In Progress")</f>
        <v>1</v>
      </c>
      <c r="F12" s="10" t="s">
        <v>12</v>
      </c>
      <c r="G12" s="11">
        <f>COUNTIF(Log!D:D,"Internal Audit")</f>
        <v>1</v>
      </c>
    </row>
    <row r="13" spans="1:8" x14ac:dyDescent="0.45">
      <c r="A13" s="8" t="s">
        <v>13</v>
      </c>
      <c r="B13" s="13">
        <f>COUNTIF(Log!G:G,"Pending Verification")</f>
        <v>1</v>
      </c>
      <c r="F13" s="10" t="s">
        <v>14</v>
      </c>
      <c r="G13" s="11">
        <f>COUNTIF(Log!D:D,"External Audit")</f>
        <v>0</v>
      </c>
    </row>
    <row r="14" spans="1:8" x14ac:dyDescent="0.45">
      <c r="A14" s="8" t="s">
        <v>15</v>
      </c>
      <c r="B14" s="14">
        <f>COUNTIF(Log!G:G,"Closed")</f>
        <v>2</v>
      </c>
      <c r="F14" s="10" t="s">
        <v>16</v>
      </c>
      <c r="G14" s="11">
        <f>COUNTIF(Log!D:D,"Nonconformance")</f>
        <v>1</v>
      </c>
    </row>
    <row r="15" spans="1:8" x14ac:dyDescent="0.45">
      <c r="F15" s="10" t="s">
        <v>17</v>
      </c>
      <c r="G15" s="11">
        <f>COUNTIF(Log!D:D,"PMS/Vigilance")</f>
        <v>0</v>
      </c>
    </row>
    <row r="16" spans="1:8" ht="15.4" x14ac:dyDescent="0.45">
      <c r="A16" s="2" t="s">
        <v>18</v>
      </c>
      <c r="B16" s="2"/>
      <c r="C16" s="2"/>
      <c r="D16" s="2"/>
      <c r="F16" s="10" t="s">
        <v>19</v>
      </c>
      <c r="G16" s="11">
        <f>COUNTIF(Log!D:D,"Supplier Issue")</f>
        <v>1</v>
      </c>
    </row>
    <row r="17" spans="1:8" x14ac:dyDescent="0.45">
      <c r="A17" s="8" t="s">
        <v>20</v>
      </c>
      <c r="B17" s="15">
        <f>COUNTIF(Log!E:E,"Critical")</f>
        <v>1</v>
      </c>
      <c r="F17" s="10" t="s">
        <v>21</v>
      </c>
      <c r="G17" s="11">
        <f>COUNTIF(Log!D:D,"Process Deviation")</f>
        <v>1</v>
      </c>
    </row>
    <row r="18" spans="1:8" x14ac:dyDescent="0.45">
      <c r="A18" s="8" t="s">
        <v>22</v>
      </c>
      <c r="B18" s="12">
        <f>COUNTIF(Log!E:E,"High")</f>
        <v>1</v>
      </c>
      <c r="F18" s="10" t="s">
        <v>23</v>
      </c>
      <c r="G18" s="11">
        <f>COUNTIF(Log!D:D,"Management Review")</f>
        <v>0</v>
      </c>
    </row>
    <row r="19" spans="1:8" x14ac:dyDescent="0.45">
      <c r="A19" s="8" t="s">
        <v>24</v>
      </c>
      <c r="B19" s="13">
        <f>COUNTIF(Log!E:E,"Medium")</f>
        <v>2</v>
      </c>
    </row>
    <row r="20" spans="1:8" x14ac:dyDescent="0.45">
      <c r="A20" s="8" t="s">
        <v>25</v>
      </c>
      <c r="B20" s="9">
        <f>COUNTIF(Log!E:E,"Low")</f>
        <v>1</v>
      </c>
    </row>
    <row r="22" spans="1:8" ht="15.4" x14ac:dyDescent="0.45">
      <c r="A22" s="2" t="s">
        <v>26</v>
      </c>
      <c r="B22" s="2"/>
      <c r="C22" s="2"/>
      <c r="D22" s="2"/>
    </row>
    <row r="23" spans="1:8" x14ac:dyDescent="0.45">
      <c r="A23" s="16" t="s">
        <v>27</v>
      </c>
      <c r="B23" s="17">
        <f>COUNTIF(Log!K:K,"Effective")</f>
        <v>2</v>
      </c>
    </row>
    <row r="24" spans="1:8" x14ac:dyDescent="0.45">
      <c r="A24" s="16" t="s">
        <v>28</v>
      </c>
      <c r="B24" s="17">
        <f>COUNTIF(Log!K:K,"Partially Effective")</f>
        <v>0</v>
      </c>
    </row>
    <row r="25" spans="1:8" x14ac:dyDescent="0.45">
      <c r="A25" s="16" t="s">
        <v>29</v>
      </c>
      <c r="B25" s="17">
        <f>COUNTIF(Log!K:K,"Not Effective")</f>
        <v>0</v>
      </c>
    </row>
    <row r="26" spans="1:8" x14ac:dyDescent="0.45">
      <c r="A26" s="16" t="s">
        <v>30</v>
      </c>
      <c r="B26" s="17">
        <f>COUNTIF(Log!K:K,"Pending")</f>
        <v>3</v>
      </c>
    </row>
    <row r="28" spans="1:8" x14ac:dyDescent="0.45">
      <c r="A28" s="1" t="s">
        <v>31</v>
      </c>
      <c r="B28" s="1"/>
      <c r="C28" s="1"/>
      <c r="D28" s="1"/>
      <c r="E28" s="1"/>
      <c r="F28" s="1"/>
      <c r="G28" s="1"/>
      <c r="H28" s="1"/>
    </row>
  </sheetData>
  <mergeCells count="8">
    <mergeCell ref="A16:D16"/>
    <mergeCell ref="A22:D22"/>
    <mergeCell ref="A28:H28"/>
    <mergeCell ref="A1:H1"/>
    <mergeCell ref="A2:H2"/>
    <mergeCell ref="A4:H4"/>
    <mergeCell ref="A10:D10"/>
    <mergeCell ref="F10:H10"/>
  </mergeCells>
  <pageMargins left="0.75" right="0.75" top="1" bottom="1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zoomScaleNormal="100" workbookViewId="0">
      <selection activeCell="E17" sqref="E17"/>
    </sheetView>
  </sheetViews>
  <sheetFormatPr baseColWidth="10" defaultColWidth="8.6640625" defaultRowHeight="14.25" x14ac:dyDescent="0.45"/>
  <cols>
    <col min="1" max="1" width="13.19921875" bestFit="1" customWidth="1"/>
    <col min="2" max="2" width="16.59765625" bestFit="1" customWidth="1"/>
    <col min="3" max="3" width="38.59765625" bestFit="1" customWidth="1"/>
    <col min="4" max="4" width="16.86328125" bestFit="1" customWidth="1"/>
    <col min="5" max="5" width="12.265625" bestFit="1" customWidth="1"/>
    <col min="6" max="6" width="15.73046875" bestFit="1" customWidth="1"/>
    <col min="7" max="7" width="16.6640625" bestFit="1" customWidth="1"/>
    <col min="8" max="8" width="11.19921875" bestFit="1" customWidth="1"/>
    <col min="9" max="9" width="15.6640625" bestFit="1" customWidth="1"/>
    <col min="10" max="10" width="14.59765625" bestFit="1" customWidth="1"/>
    <col min="11" max="11" width="16.796875" bestFit="1" customWidth="1"/>
    <col min="12" max="12" width="33" bestFit="1" customWidth="1"/>
  </cols>
  <sheetData>
    <row r="1" spans="1:12" ht="24.75" customHeight="1" x14ac:dyDescent="0.45">
      <c r="A1" s="18" t="s">
        <v>32</v>
      </c>
      <c r="B1" s="18" t="s">
        <v>33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s="18" t="s">
        <v>40</v>
      </c>
      <c r="J1" s="18" t="s">
        <v>41</v>
      </c>
      <c r="K1" s="18" t="s">
        <v>42</v>
      </c>
      <c r="L1" s="18" t="s">
        <v>43</v>
      </c>
    </row>
    <row r="2" spans="1:12" x14ac:dyDescent="0.45">
      <c r="A2" s="19" t="s">
        <v>44</v>
      </c>
      <c r="B2" s="20">
        <v>45659</v>
      </c>
      <c r="C2" s="19" t="s">
        <v>45</v>
      </c>
      <c r="D2" s="19" t="s">
        <v>10</v>
      </c>
      <c r="E2" s="19" t="s">
        <v>22</v>
      </c>
      <c r="F2" s="20">
        <v>45703</v>
      </c>
      <c r="G2" s="19" t="s">
        <v>15</v>
      </c>
      <c r="H2" s="19" t="s">
        <v>46</v>
      </c>
      <c r="I2" s="20">
        <v>45698</v>
      </c>
      <c r="J2" s="21">
        <f ca="1">IF(G2="Closed",IF(I2&lt;&gt;"",I2-B2,""),TODAY()-B2)</f>
        <v>39</v>
      </c>
      <c r="K2" s="19" t="s">
        <v>27</v>
      </c>
      <c r="L2" s="19" t="s">
        <v>47</v>
      </c>
    </row>
    <row r="3" spans="1:12" x14ac:dyDescent="0.45">
      <c r="A3" s="19" t="s">
        <v>48</v>
      </c>
      <c r="B3" s="20">
        <v>45665</v>
      </c>
      <c r="C3" s="19" t="s">
        <v>49</v>
      </c>
      <c r="D3" s="19" t="s">
        <v>19</v>
      </c>
      <c r="E3" s="19" t="s">
        <v>24</v>
      </c>
      <c r="F3" s="20">
        <v>45717</v>
      </c>
      <c r="G3" s="19" t="s">
        <v>11</v>
      </c>
      <c r="H3" s="19" t="s">
        <v>50</v>
      </c>
      <c r="I3" s="19"/>
      <c r="J3" s="21">
        <f ca="1">IF(G3="Closed",IF(I3&lt;&gt;"",I3-B3,""),TODAY()-B3)</f>
        <v>373</v>
      </c>
      <c r="K3" s="19" t="s">
        <v>30</v>
      </c>
      <c r="L3" s="19" t="s">
        <v>51</v>
      </c>
    </row>
    <row r="4" spans="1:12" x14ac:dyDescent="0.45">
      <c r="A4" s="19" t="s">
        <v>52</v>
      </c>
      <c r="B4" s="20">
        <v>45667</v>
      </c>
      <c r="C4" s="19" t="s">
        <v>53</v>
      </c>
      <c r="D4" s="19" t="s">
        <v>16</v>
      </c>
      <c r="E4" s="19" t="s">
        <v>25</v>
      </c>
      <c r="F4" s="20">
        <v>45716</v>
      </c>
      <c r="G4" s="19" t="s">
        <v>13</v>
      </c>
      <c r="H4" s="19" t="s">
        <v>54</v>
      </c>
      <c r="I4" s="19"/>
      <c r="J4" s="21">
        <f ca="1">IF(G4="Closed",IF(I4&lt;&gt;"",I4-B4,""),TODAY()-B4)</f>
        <v>371</v>
      </c>
      <c r="K4" s="19" t="s">
        <v>30</v>
      </c>
      <c r="L4" s="19" t="s">
        <v>55</v>
      </c>
    </row>
    <row r="5" spans="1:12" x14ac:dyDescent="0.45">
      <c r="A5" s="19" t="s">
        <v>56</v>
      </c>
      <c r="B5" s="20">
        <v>45672</v>
      </c>
      <c r="C5" s="19" t="s">
        <v>57</v>
      </c>
      <c r="D5" s="19" t="s">
        <v>12</v>
      </c>
      <c r="E5" s="19" t="s">
        <v>24</v>
      </c>
      <c r="F5" s="20">
        <v>45731</v>
      </c>
      <c r="G5" s="19" t="s">
        <v>9</v>
      </c>
      <c r="H5" s="19" t="s">
        <v>58</v>
      </c>
      <c r="I5" s="19"/>
      <c r="J5" s="21">
        <f ca="1">IF(G5="Closed",IF(I5&lt;&gt;"",I5-B5,""),TODAY()-B5)</f>
        <v>366</v>
      </c>
      <c r="K5" s="19" t="s">
        <v>30</v>
      </c>
      <c r="L5" s="19" t="s">
        <v>59</v>
      </c>
    </row>
    <row r="6" spans="1:12" x14ac:dyDescent="0.45">
      <c r="A6" s="19" t="s">
        <v>60</v>
      </c>
      <c r="B6" s="20">
        <v>45627</v>
      </c>
      <c r="C6" s="19" t="s">
        <v>61</v>
      </c>
      <c r="D6" s="19" t="s">
        <v>21</v>
      </c>
      <c r="E6" s="19" t="s">
        <v>20</v>
      </c>
      <c r="F6" s="20">
        <v>45672</v>
      </c>
      <c r="G6" s="19" t="s">
        <v>15</v>
      </c>
      <c r="H6" s="19" t="s">
        <v>46</v>
      </c>
      <c r="I6" s="20">
        <v>45671</v>
      </c>
      <c r="J6" s="21">
        <f ca="1">IF(G6="Closed",IF(I6&lt;&gt;"",I6-B6,""),TODAY()-B6)</f>
        <v>44</v>
      </c>
      <c r="K6" s="19" t="s">
        <v>27</v>
      </c>
      <c r="L6" s="19" t="s">
        <v>62</v>
      </c>
    </row>
  </sheetData>
  <autoFilter ref="A1:L1" xr:uid="{00000000-0009-0000-0000-000001000000}"/>
  <conditionalFormatting sqref="E2:E1000">
    <cfRule type="expression" dxfId="8" priority="6">
      <formula>$E2="Critical"</formula>
    </cfRule>
    <cfRule type="expression" dxfId="7" priority="7">
      <formula>$E2="High"</formula>
    </cfRule>
    <cfRule type="expression" dxfId="6" priority="8">
      <formula>$E2="Medium"</formula>
    </cfRule>
    <cfRule type="expression" dxfId="5" priority="9">
      <formula>$E2="Low"</formula>
    </cfRule>
  </conditionalFormatting>
  <conditionalFormatting sqref="F2:F1000">
    <cfRule type="expression" dxfId="4" priority="10">
      <formula>AND($F2&lt;TODAY(),$G2&lt;&gt;"Closed",$F2&lt;&gt;"")</formula>
    </cfRule>
  </conditionalFormatting>
  <conditionalFormatting sqref="G2:G1000">
    <cfRule type="expression" dxfId="3" priority="2">
      <formula>$G2="Open"</formula>
    </cfRule>
    <cfRule type="expression" dxfId="2" priority="3">
      <formula>$G2="In Progress"</formula>
    </cfRule>
    <cfRule type="expression" dxfId="1" priority="4">
      <formula>$G2="Pending Verification"</formula>
    </cfRule>
    <cfRule type="expression" dxfId="0" priority="5">
      <formula>$G2="Closed"</formula>
    </cfRule>
  </conditionalFormatting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Dropdowns!$A$2:$A$5</xm:f>
          </x14:formula1>
          <x14:formula2>
            <xm:f>0</xm:f>
          </x14:formula2>
          <xm:sqref>G2:G1000</xm:sqref>
        </x14:dataValidation>
        <x14:dataValidation type="list" allowBlank="1" xr:uid="{00000000-0002-0000-0100-000001000000}">
          <x14:formula1>
            <xm:f>Dropdowns!$B$2:$B$5</xm:f>
          </x14:formula1>
          <x14:formula2>
            <xm:f>0</xm:f>
          </x14:formula2>
          <xm:sqref>E2:E1000</xm:sqref>
        </x14:dataValidation>
        <x14:dataValidation type="list" allowBlank="1" xr:uid="{00000000-0002-0000-0100-000002000000}">
          <x14:formula1>
            <xm:f>Dropdowns!$C$2:$C$10</xm:f>
          </x14:formula1>
          <x14:formula2>
            <xm:f>0</xm:f>
          </x14:formula2>
          <xm:sqref>D2:D1000</xm:sqref>
        </x14:dataValidation>
        <x14:dataValidation type="list" allowBlank="1" xr:uid="{00000000-0002-0000-0100-000003000000}">
          <x14:formula1>
            <xm:f>Dropdowns!$D$2:$D$5</xm:f>
          </x14:formula1>
          <x14:formula2>
            <xm:f>0</xm:f>
          </x14:formula2>
          <xm:sqref>K2:K1000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4"/>
  <sheetViews>
    <sheetView tabSelected="1" view="pageLayout" zoomScale="70" zoomScaleNormal="100" zoomScalePageLayoutView="70" workbookViewId="0">
      <selection activeCell="G20" sqref="G20"/>
    </sheetView>
  </sheetViews>
  <sheetFormatPr baseColWidth="10" defaultColWidth="8.6640625" defaultRowHeight="14.25" x14ac:dyDescent="0.45"/>
  <cols>
    <col min="1" max="1" width="60.796875" customWidth="1"/>
  </cols>
  <sheetData>
    <row r="1" spans="1:1" ht="34.5" customHeight="1" x14ac:dyDescent="0.6">
      <c r="A1" s="22" t="s">
        <v>63</v>
      </c>
    </row>
    <row r="3" spans="1:1" ht="15.4" x14ac:dyDescent="0.45">
      <c r="A3" s="23" t="s">
        <v>64</v>
      </c>
    </row>
    <row r="5" spans="1:1" x14ac:dyDescent="0.45">
      <c r="A5" s="24" t="s">
        <v>65</v>
      </c>
    </row>
    <row r="6" spans="1:1" x14ac:dyDescent="0.45">
      <c r="A6" s="25" t="s">
        <v>66</v>
      </c>
    </row>
    <row r="7" spans="1:1" x14ac:dyDescent="0.45">
      <c r="A7" s="25" t="s">
        <v>67</v>
      </c>
    </row>
    <row r="8" spans="1:1" x14ac:dyDescent="0.45">
      <c r="A8" s="25" t="s">
        <v>68</v>
      </c>
    </row>
    <row r="9" spans="1:1" x14ac:dyDescent="0.45">
      <c r="A9" s="25" t="s">
        <v>69</v>
      </c>
    </row>
    <row r="10" spans="1:1" x14ac:dyDescent="0.45">
      <c r="A10" s="25" t="s">
        <v>70</v>
      </c>
    </row>
    <row r="11" spans="1:1" x14ac:dyDescent="0.45">
      <c r="A11" s="25" t="s">
        <v>71</v>
      </c>
    </row>
    <row r="12" spans="1:1" x14ac:dyDescent="0.45">
      <c r="A12" s="25" t="s">
        <v>72</v>
      </c>
    </row>
    <row r="14" spans="1:1" x14ac:dyDescent="0.45">
      <c r="A14" s="24" t="s">
        <v>73</v>
      </c>
    </row>
    <row r="15" spans="1:1" x14ac:dyDescent="0.45">
      <c r="A15" s="25" t="s">
        <v>74</v>
      </c>
    </row>
    <row r="16" spans="1:1" x14ac:dyDescent="0.45">
      <c r="A16" s="25" t="s">
        <v>75</v>
      </c>
    </row>
    <row r="18" spans="1:1" ht="15.4" x14ac:dyDescent="0.45">
      <c r="A18" s="23" t="s">
        <v>76</v>
      </c>
    </row>
    <row r="19" spans="1:1" x14ac:dyDescent="0.45">
      <c r="A19" s="25" t="s">
        <v>77</v>
      </c>
    </row>
    <row r="20" spans="1:1" x14ac:dyDescent="0.45">
      <c r="A20" s="25" t="s">
        <v>78</v>
      </c>
    </row>
    <row r="21" spans="1:1" x14ac:dyDescent="0.45">
      <c r="A21" s="25" t="s">
        <v>79</v>
      </c>
    </row>
    <row r="22" spans="1:1" x14ac:dyDescent="0.45">
      <c r="A22" s="25" t="s">
        <v>80</v>
      </c>
    </row>
    <row r="24" spans="1:1" ht="15.4" x14ac:dyDescent="0.45">
      <c r="A24" s="23" t="s">
        <v>81</v>
      </c>
    </row>
    <row r="25" spans="1:1" x14ac:dyDescent="0.45">
      <c r="A25" s="25" t="s">
        <v>82</v>
      </c>
    </row>
    <row r="26" spans="1:1" x14ac:dyDescent="0.45">
      <c r="A26" s="25" t="s">
        <v>83</v>
      </c>
    </row>
    <row r="27" spans="1:1" x14ac:dyDescent="0.45">
      <c r="A27" s="25" t="s">
        <v>84</v>
      </c>
    </row>
    <row r="28" spans="1:1" x14ac:dyDescent="0.45">
      <c r="A28" s="25" t="s">
        <v>85</v>
      </c>
    </row>
    <row r="30" spans="1:1" x14ac:dyDescent="0.45">
      <c r="A30" s="24" t="s">
        <v>86</v>
      </c>
    </row>
    <row r="31" spans="1:1" x14ac:dyDescent="0.45">
      <c r="A31" s="25" t="s">
        <v>87</v>
      </c>
    </row>
    <row r="32" spans="1:1" x14ac:dyDescent="0.45">
      <c r="A32" s="25" t="s">
        <v>88</v>
      </c>
    </row>
    <row r="33" spans="1:1" x14ac:dyDescent="0.45">
      <c r="A33" s="25" t="s">
        <v>89</v>
      </c>
    </row>
    <row r="34" spans="1:1" x14ac:dyDescent="0.45">
      <c r="A34" s="25" t="s">
        <v>90</v>
      </c>
    </row>
    <row r="36" spans="1:1" ht="15.4" x14ac:dyDescent="0.45">
      <c r="A36" s="23" t="s">
        <v>91</v>
      </c>
    </row>
    <row r="37" spans="1:1" x14ac:dyDescent="0.45">
      <c r="A37" s="25" t="s">
        <v>92</v>
      </c>
    </row>
    <row r="38" spans="1:1" x14ac:dyDescent="0.45">
      <c r="A38" s="25" t="s">
        <v>93</v>
      </c>
    </row>
    <row r="39" spans="1:1" x14ac:dyDescent="0.45">
      <c r="A39" s="25" t="s">
        <v>94</v>
      </c>
    </row>
    <row r="40" spans="1:1" x14ac:dyDescent="0.45">
      <c r="A40" s="25" t="s">
        <v>95</v>
      </c>
    </row>
    <row r="42" spans="1:1" x14ac:dyDescent="0.45">
      <c r="A42" t="s">
        <v>96</v>
      </c>
    </row>
    <row r="43" spans="1:1" x14ac:dyDescent="0.45">
      <c r="A43" t="s">
        <v>97</v>
      </c>
    </row>
    <row r="44" spans="1:1" x14ac:dyDescent="0.45">
      <c r="A44" t="s">
        <v>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/>
  </sheetViews>
  <sheetFormatPr baseColWidth="10" defaultColWidth="8.6640625" defaultRowHeight="14.25" x14ac:dyDescent="0.45"/>
  <sheetData>
    <row r="1" spans="1:4" x14ac:dyDescent="0.45">
      <c r="A1" s="24" t="s">
        <v>38</v>
      </c>
      <c r="B1" s="24" t="s">
        <v>36</v>
      </c>
      <c r="C1" s="24" t="s">
        <v>35</v>
      </c>
      <c r="D1" s="24" t="s">
        <v>42</v>
      </c>
    </row>
    <row r="2" spans="1:4" x14ac:dyDescent="0.45">
      <c r="A2" t="s">
        <v>9</v>
      </c>
      <c r="B2" t="s">
        <v>20</v>
      </c>
      <c r="C2" t="s">
        <v>10</v>
      </c>
      <c r="D2" t="s">
        <v>27</v>
      </c>
    </row>
    <row r="3" spans="1:4" x14ac:dyDescent="0.45">
      <c r="A3" t="s">
        <v>11</v>
      </c>
      <c r="B3" t="s">
        <v>22</v>
      </c>
      <c r="C3" t="s">
        <v>12</v>
      </c>
      <c r="D3" t="s">
        <v>28</v>
      </c>
    </row>
    <row r="4" spans="1:4" x14ac:dyDescent="0.45">
      <c r="A4" t="s">
        <v>13</v>
      </c>
      <c r="B4" t="s">
        <v>24</v>
      </c>
      <c r="C4" t="s">
        <v>14</v>
      </c>
      <c r="D4" t="s">
        <v>29</v>
      </c>
    </row>
    <row r="5" spans="1:4" x14ac:dyDescent="0.45">
      <c r="A5" t="s">
        <v>15</v>
      </c>
      <c r="B5" t="s">
        <v>25</v>
      </c>
      <c r="C5" t="s">
        <v>16</v>
      </c>
      <c r="D5" t="s">
        <v>30</v>
      </c>
    </row>
    <row r="6" spans="1:4" x14ac:dyDescent="0.45">
      <c r="C6" t="s">
        <v>17</v>
      </c>
    </row>
    <row r="7" spans="1:4" x14ac:dyDescent="0.45">
      <c r="C7" t="s">
        <v>19</v>
      </c>
    </row>
    <row r="8" spans="1:4" x14ac:dyDescent="0.45">
      <c r="C8" t="s">
        <v>21</v>
      </c>
    </row>
    <row r="9" spans="1:4" x14ac:dyDescent="0.45">
      <c r="C9" t="s">
        <v>23</v>
      </c>
    </row>
    <row r="10" spans="1:4" x14ac:dyDescent="0.45">
      <c r="C10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Dashboard</vt:lpstr>
      <vt:lpstr>Log</vt:lpstr>
      <vt:lpstr>Instructions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Stefan Schönwälder</cp:lastModifiedBy>
  <cp:revision>0</cp:revision>
  <cp:lastPrinted>2026-01-16T17:18:29Z</cp:lastPrinted>
  <dcterms:created xsi:type="dcterms:W3CDTF">2026-01-12T05:13:29Z</dcterms:created>
  <dcterms:modified xsi:type="dcterms:W3CDTF">2026-01-16T18:57:21Z</dcterms:modified>
  <dc:language>en-US</dc:language>
</cp:coreProperties>
</file>